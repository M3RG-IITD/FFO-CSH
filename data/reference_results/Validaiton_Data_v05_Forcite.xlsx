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riq Jamil\Google Drive\Tobermorite\MODELS_AND_FORCE_FIELD_v05\MODELS_AND_FORCE_FIELD_validation\"/>
    </mc:Choice>
  </mc:AlternateContent>
  <bookViews>
    <workbookView xWindow="0" yWindow="0" windowWidth="19200" windowHeight="7035"/>
  </bookViews>
  <sheets>
    <sheet name="Not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" l="1"/>
  <c r="T5" i="1"/>
  <c r="T7" i="1"/>
  <c r="T8" i="1"/>
  <c r="T10" i="1"/>
  <c r="T11" i="1"/>
  <c r="T13" i="1"/>
  <c r="T14" i="1"/>
  <c r="K5" i="1"/>
  <c r="L5" i="1"/>
  <c r="M5" i="1"/>
  <c r="N5" i="1"/>
  <c r="R44" i="1" l="1"/>
  <c r="Q44" i="1"/>
  <c r="P44" i="1"/>
  <c r="O44" i="1"/>
  <c r="N44" i="1"/>
  <c r="M44" i="1"/>
  <c r="L44" i="1"/>
  <c r="K44" i="1"/>
  <c r="R33" i="1"/>
  <c r="R32" i="1"/>
  <c r="R52" i="1" l="1"/>
  <c r="Q52" i="1"/>
  <c r="P52" i="1"/>
  <c r="O52" i="1"/>
  <c r="N52" i="1"/>
  <c r="M52" i="1"/>
  <c r="K52" i="1"/>
  <c r="L52" i="1"/>
  <c r="R49" i="1"/>
  <c r="Q49" i="1"/>
  <c r="P49" i="1"/>
  <c r="O49" i="1"/>
  <c r="N49" i="1"/>
  <c r="M49" i="1"/>
  <c r="L49" i="1"/>
  <c r="K49" i="1"/>
  <c r="B48" i="1"/>
  <c r="C38" i="1" l="1"/>
  <c r="B38" i="1"/>
  <c r="C35" i="1"/>
  <c r="L35" i="1" s="1"/>
  <c r="B35" i="1"/>
  <c r="K35" i="1" s="1"/>
  <c r="R38" i="1"/>
  <c r="Q38" i="1"/>
  <c r="P38" i="1"/>
  <c r="O38" i="1"/>
  <c r="N38" i="1"/>
  <c r="M38" i="1"/>
  <c r="L38" i="1"/>
  <c r="K38" i="1"/>
  <c r="R35" i="1"/>
  <c r="Q35" i="1"/>
  <c r="P35" i="1"/>
  <c r="O35" i="1"/>
  <c r="N35" i="1"/>
  <c r="M35" i="1"/>
  <c r="B34" i="1"/>
  <c r="R30" i="1" l="1"/>
  <c r="Q30" i="1"/>
  <c r="P30" i="1"/>
  <c r="O30" i="1"/>
  <c r="N30" i="1"/>
  <c r="M30" i="1"/>
  <c r="L30" i="1"/>
  <c r="K30" i="1"/>
  <c r="R29" i="1"/>
  <c r="Q29" i="1"/>
  <c r="P29" i="1"/>
  <c r="O29" i="1"/>
  <c r="N29" i="1"/>
  <c r="M29" i="1"/>
  <c r="L29" i="1"/>
  <c r="K29" i="1"/>
  <c r="R27" i="1"/>
  <c r="Q27" i="1"/>
  <c r="P27" i="1"/>
  <c r="O27" i="1"/>
  <c r="N27" i="1"/>
  <c r="M27" i="1"/>
  <c r="L27" i="1"/>
  <c r="K27" i="1"/>
  <c r="R26" i="1"/>
  <c r="Q26" i="1"/>
  <c r="P26" i="1"/>
  <c r="O26" i="1"/>
  <c r="N26" i="1"/>
  <c r="M26" i="1"/>
  <c r="L26" i="1"/>
  <c r="K26" i="1"/>
  <c r="R24" i="1"/>
  <c r="Q24" i="1"/>
  <c r="P24" i="1"/>
  <c r="O24" i="1"/>
  <c r="N24" i="1"/>
  <c r="M24" i="1"/>
  <c r="L24" i="1"/>
  <c r="K24" i="1"/>
  <c r="R23" i="1"/>
  <c r="Q23" i="1"/>
  <c r="P23" i="1"/>
  <c r="O23" i="1"/>
  <c r="N23" i="1"/>
  <c r="M23" i="1"/>
  <c r="L23" i="1"/>
  <c r="K23" i="1"/>
  <c r="R21" i="1"/>
  <c r="Q21" i="1"/>
  <c r="P21" i="1"/>
  <c r="O21" i="1"/>
  <c r="N21" i="1"/>
  <c r="M21" i="1"/>
  <c r="L21" i="1"/>
  <c r="K21" i="1"/>
  <c r="R20" i="1"/>
  <c r="Q20" i="1"/>
  <c r="P20" i="1"/>
  <c r="O20" i="1"/>
  <c r="N20" i="1"/>
  <c r="M20" i="1"/>
  <c r="L20" i="1"/>
  <c r="K20" i="1"/>
  <c r="B19" i="1"/>
  <c r="B3" i="1" l="1"/>
  <c r="R14" i="1" l="1"/>
  <c r="Q14" i="1"/>
  <c r="P14" i="1"/>
  <c r="O14" i="1"/>
  <c r="N14" i="1"/>
  <c r="M14" i="1"/>
  <c r="L14" i="1"/>
  <c r="K14" i="1"/>
  <c r="R13" i="1"/>
  <c r="Q13" i="1"/>
  <c r="P13" i="1"/>
  <c r="O13" i="1"/>
  <c r="N13" i="1"/>
  <c r="M13" i="1"/>
  <c r="L13" i="1"/>
  <c r="K13" i="1"/>
  <c r="R11" i="1"/>
  <c r="Q11" i="1"/>
  <c r="P11" i="1"/>
  <c r="O11" i="1"/>
  <c r="N11" i="1"/>
  <c r="M11" i="1"/>
  <c r="L11" i="1"/>
  <c r="K11" i="1"/>
  <c r="R10" i="1"/>
  <c r="Q10" i="1"/>
  <c r="P10" i="1"/>
  <c r="O10" i="1"/>
  <c r="N10" i="1"/>
  <c r="M10" i="1"/>
  <c r="L10" i="1"/>
  <c r="K10" i="1"/>
  <c r="R8" i="1"/>
  <c r="Q8" i="1"/>
  <c r="P8" i="1"/>
  <c r="O8" i="1"/>
  <c r="N8" i="1"/>
  <c r="M8" i="1"/>
  <c r="L8" i="1"/>
  <c r="K8" i="1"/>
  <c r="R7" i="1"/>
  <c r="Q7" i="1"/>
  <c r="P7" i="1"/>
  <c r="O7" i="1"/>
  <c r="N7" i="1"/>
  <c r="M7" i="1"/>
  <c r="L7" i="1"/>
  <c r="K7" i="1"/>
  <c r="O5" i="1"/>
  <c r="P5" i="1"/>
  <c r="Q5" i="1"/>
  <c r="R5" i="1"/>
  <c r="R4" i="1"/>
  <c r="L4" i="1"/>
  <c r="M4" i="1"/>
  <c r="N4" i="1"/>
  <c r="O4" i="1"/>
  <c r="P4" i="1"/>
  <c r="Q4" i="1"/>
  <c r="K4" i="1"/>
  <c r="R17" i="1" l="1"/>
  <c r="R16" i="1"/>
  <c r="T17" i="1" l="1"/>
  <c r="T16" i="1"/>
</calcChain>
</file>

<file path=xl/sharedStrings.xml><?xml version="1.0" encoding="utf-8"?>
<sst xmlns="http://schemas.openxmlformats.org/spreadsheetml/2006/main" count="20" uniqueCount="8">
  <si>
    <t>14 Å (M)</t>
  </si>
  <si>
    <t>11 Å (M)</t>
  </si>
  <si>
    <t xml:space="preserve">11 Å (H) </t>
  </si>
  <si>
    <t>9 Å (M)</t>
  </si>
  <si>
    <t>Consolidated resutls from Forcite</t>
  </si>
  <si>
    <t xml:space="preserve">Old prm using Forcite </t>
  </si>
  <si>
    <t>Old prm using LAMMPS</t>
  </si>
  <si>
    <t xml:space="preserve">FF validation with new FRC using LAMMPS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</si>
</sst>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000"/>
    <numFmt numFmtId="166" formatCode="0.0"/>
    <numFmt numFmtId="167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0" fontId="0" fillId="0" borderId="0" xfId="0" applyNumberFormat="1"/>
    <xf numFmtId="0" fontId="0" fillId="0" borderId="0" xfId="0" applyFont="1"/>
    <xf numFmtId="1" fontId="0" fillId="0" borderId="0" xfId="0" applyNumberFormat="1" applyFont="1"/>
    <xf numFmtId="164" fontId="0" fillId="0" borderId="0" xfId="0" applyNumberFormat="1" applyFont="1"/>
    <xf numFmtId="165" fontId="0" fillId="0" borderId="0" xfId="0" applyNumberFormat="1" applyFont="1"/>
    <xf numFmtId="164" fontId="0" fillId="0" borderId="0" xfId="0" applyNumberFormat="1"/>
    <xf numFmtId="166" fontId="0" fillId="0" borderId="0" xfId="0" applyNumberFormat="1" applyFont="1"/>
    <xf numFmtId="166" fontId="0" fillId="0" borderId="0" xfId="0" applyNumberFormat="1"/>
    <xf numFmtId="1" fontId="0" fillId="0" borderId="0" xfId="0" applyNumberFormat="1"/>
    <xf numFmtId="10" fontId="0" fillId="0" borderId="1" xfId="0" applyNumberFormat="1" applyBorder="1"/>
    <xf numFmtId="10" fontId="0" fillId="0" borderId="2" xfId="0" applyNumberFormat="1" applyBorder="1"/>
    <xf numFmtId="10" fontId="0" fillId="0" borderId="3" xfId="0" applyNumberFormat="1" applyBorder="1"/>
    <xf numFmtId="0" fontId="1" fillId="0" borderId="0" xfId="0" applyFont="1"/>
    <xf numFmtId="0" fontId="0" fillId="0" borderId="0" xfId="0" applyBorder="1"/>
    <xf numFmtId="10" fontId="0" fillId="0" borderId="0" xfId="0" applyNumberFormat="1" applyBorder="1"/>
    <xf numFmtId="167" fontId="0" fillId="0" borderId="0" xfId="0" applyNumberFormat="1" applyBorder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58"/>
  <sheetViews>
    <sheetView tabSelected="1" zoomScale="85" zoomScaleNormal="85" workbookViewId="0">
      <selection activeCell="H15" sqref="H15"/>
    </sheetView>
  </sheetViews>
  <sheetFormatPr defaultRowHeight="15" x14ac:dyDescent="0.25"/>
  <cols>
    <col min="1" max="2" width="9.85546875" bestFit="1" customWidth="1"/>
    <col min="8" max="8" width="9.5703125" bestFit="1" customWidth="1"/>
  </cols>
  <sheetData>
    <row r="2" spans="1:20" x14ac:dyDescent="0.25">
      <c r="B2" s="13" t="s">
        <v>4</v>
      </c>
    </row>
    <row r="3" spans="1:20" x14ac:dyDescent="0.25">
      <c r="A3" s="2" t="s">
        <v>0</v>
      </c>
      <c r="B3" s="4">
        <f>1.347*10</f>
        <v>13.469999999999999</v>
      </c>
      <c r="C3" s="4">
        <v>14.85</v>
      </c>
      <c r="D3" s="4">
        <v>27.986999999999998</v>
      </c>
      <c r="E3" s="7">
        <v>90</v>
      </c>
      <c r="F3" s="7">
        <v>90</v>
      </c>
      <c r="G3" s="7">
        <v>123.25</v>
      </c>
      <c r="H3" s="3">
        <v>4681.6000000000004</v>
      </c>
      <c r="I3" s="4">
        <v>2.23</v>
      </c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 x14ac:dyDescent="0.25">
      <c r="A4" s="2"/>
      <c r="B4" s="6">
        <v>13.524651333809992</v>
      </c>
      <c r="C4" s="6">
        <v>14.681176261021665</v>
      </c>
      <c r="D4" s="6">
        <v>27.978363258775921</v>
      </c>
      <c r="E4" s="8">
        <v>90.112281014435609</v>
      </c>
      <c r="F4" s="8">
        <v>89.396440873128753</v>
      </c>
      <c r="G4" s="8">
        <v>122.54888343091906</v>
      </c>
      <c r="H4" s="9">
        <v>4685</v>
      </c>
      <c r="I4" s="6">
        <v>2.2269999999999999</v>
      </c>
      <c r="K4" s="15">
        <f>(B4-B3)/B3</f>
        <v>4.0572630890863227E-3</v>
      </c>
      <c r="L4" s="15">
        <f t="shared" ref="L4:Q4" si="0">(C4-C3)/C3</f>
        <v>-1.136860195140298E-2</v>
      </c>
      <c r="M4" s="15">
        <f t="shared" si="0"/>
        <v>-3.0859832150916037E-4</v>
      </c>
      <c r="N4" s="15">
        <f t="shared" si="0"/>
        <v>1.2475668270623271E-3</v>
      </c>
      <c r="O4" s="15">
        <f t="shared" si="0"/>
        <v>-6.706212520791629E-3</v>
      </c>
      <c r="P4" s="15">
        <f t="shared" si="0"/>
        <v>-5.6885725686080142E-3</v>
      </c>
      <c r="Q4" s="15">
        <f t="shared" si="0"/>
        <v>7.2624743677367481E-4</v>
      </c>
      <c r="R4" s="15">
        <f>(I4-I3)/I3</f>
        <v>-1.3452914798206788E-3</v>
      </c>
      <c r="S4" s="15"/>
      <c r="T4" s="16">
        <f>R4-R20</f>
        <v>1.8126473478287939E-3</v>
      </c>
    </row>
    <row r="5" spans="1:20" x14ac:dyDescent="0.25">
      <c r="A5" s="2"/>
      <c r="B5" s="6">
        <v>13.61526794514956</v>
      </c>
      <c r="C5" s="6">
        <v>14.742499781003398</v>
      </c>
      <c r="D5" s="6">
        <v>27.57658683710757</v>
      </c>
      <c r="E5" s="8">
        <v>90.015860889267969</v>
      </c>
      <c r="F5" s="8">
        <v>89.964123849971685</v>
      </c>
      <c r="G5" s="8">
        <v>122.25300171891749</v>
      </c>
      <c r="H5" s="9">
        <v>4678.2</v>
      </c>
      <c r="I5" s="6">
        <v>2.2280000000000002</v>
      </c>
      <c r="K5" s="15">
        <f>(B5-B3)/B3</f>
        <v>1.0784554205609568E-2</v>
      </c>
      <c r="L5" s="15">
        <f t="shared" ref="L5:R5" si="1">(C5-C3)/C3</f>
        <v>-7.2390719863031725E-3</v>
      </c>
      <c r="M5" s="15">
        <f t="shared" si="1"/>
        <v>-1.4664421441827584E-2</v>
      </c>
      <c r="N5" s="15">
        <f t="shared" si="1"/>
        <v>1.7623210297743855E-4</v>
      </c>
      <c r="O5" s="15">
        <f t="shared" si="1"/>
        <v>-3.9862388920350138E-4</v>
      </c>
      <c r="P5" s="15">
        <f t="shared" si="1"/>
        <v>-8.0892355463084101E-3</v>
      </c>
      <c r="Q5" s="15">
        <f t="shared" si="1"/>
        <v>-7.2624743677386909E-4</v>
      </c>
      <c r="R5" s="15">
        <f t="shared" si="1"/>
        <v>-8.9686098654698644E-4</v>
      </c>
      <c r="S5" s="14"/>
      <c r="T5" s="16">
        <f t="shared" ref="T5:T14" si="2">R5-R21</f>
        <v>-8.6075071909671886E-3</v>
      </c>
    </row>
    <row r="6" spans="1:20" x14ac:dyDescent="0.25">
      <c r="A6" s="2" t="s">
        <v>1</v>
      </c>
      <c r="B6" s="4">
        <v>13.47</v>
      </c>
      <c r="C6" s="4">
        <v>14.77</v>
      </c>
      <c r="D6" s="4">
        <v>22.486999999999998</v>
      </c>
      <c r="E6" s="7">
        <v>90</v>
      </c>
      <c r="F6" s="7">
        <v>90</v>
      </c>
      <c r="G6" s="7">
        <v>123.25</v>
      </c>
      <c r="H6" s="3">
        <v>3741.6</v>
      </c>
      <c r="I6" s="4">
        <v>2.46</v>
      </c>
      <c r="K6" s="15"/>
      <c r="L6" s="15"/>
      <c r="M6" s="15"/>
      <c r="N6" s="15"/>
      <c r="O6" s="15"/>
      <c r="P6" s="15"/>
      <c r="Q6" s="15"/>
      <c r="R6" s="15"/>
      <c r="S6" s="14"/>
      <c r="T6" s="16"/>
    </row>
    <row r="7" spans="1:20" x14ac:dyDescent="0.25">
      <c r="A7" s="2"/>
      <c r="B7" s="6">
        <v>13.700568257689811</v>
      </c>
      <c r="C7" s="6">
        <v>14.745409803315296</v>
      </c>
      <c r="D7" s="6">
        <v>22.559829202331276</v>
      </c>
      <c r="E7" s="8">
        <v>89.998955207138579</v>
      </c>
      <c r="F7" s="8">
        <v>89.994930252713459</v>
      </c>
      <c r="G7" s="8">
        <v>122.58228619453675</v>
      </c>
      <c r="H7" s="9">
        <v>3839.26</v>
      </c>
      <c r="I7" s="6">
        <v>2.3969999999999998</v>
      </c>
      <c r="K7" s="15">
        <f>(B7-B6)/B6</f>
        <v>1.7117168351136653E-2</v>
      </c>
      <c r="L7" s="15">
        <f t="shared" ref="L7" si="3">(C7-C6)/C6</f>
        <v>-1.6648745216454955E-3</v>
      </c>
      <c r="M7" s="15">
        <f t="shared" ref="M7" si="4">(D7-D6)/D6</f>
        <v>3.23872470010573E-3</v>
      </c>
      <c r="N7" s="15">
        <f t="shared" ref="N7" si="5">(E7-E6)/E6</f>
        <v>-1.1608809571346985E-5</v>
      </c>
      <c r="O7" s="15">
        <f t="shared" ref="O7" si="6">(F7-F6)/F6</f>
        <v>-5.6330525406009557E-5</v>
      </c>
      <c r="P7" s="15">
        <f t="shared" ref="P7" si="7">(G7-G6)/G6</f>
        <v>-5.4175562309391545E-3</v>
      </c>
      <c r="Q7" s="15">
        <f t="shared" ref="Q7" si="8">(H7-H6)/H6</f>
        <v>2.6101133205046052E-2</v>
      </c>
      <c r="R7" s="15">
        <f>(I7-I6)/I6</f>
        <v>-2.5609756097561043E-2</v>
      </c>
      <c r="S7" s="14"/>
      <c r="T7" s="16">
        <f t="shared" si="2"/>
        <v>1.5749619408572668E-4</v>
      </c>
    </row>
    <row r="8" spans="1:20" x14ac:dyDescent="0.25">
      <c r="A8" s="2"/>
      <c r="B8" s="6">
        <v>13.750731377772709</v>
      </c>
      <c r="C8" s="6">
        <v>14.79098513072026</v>
      </c>
      <c r="D8" s="6">
        <v>22.39360188128823</v>
      </c>
      <c r="E8" s="8">
        <v>90.00279729384215</v>
      </c>
      <c r="F8" s="8">
        <v>89.996085340149804</v>
      </c>
      <c r="G8" s="8">
        <v>122.48882219931259</v>
      </c>
      <c r="H8" s="9">
        <v>3841.43</v>
      </c>
      <c r="I8" s="6">
        <v>2.3959999999999999</v>
      </c>
      <c r="K8" s="15">
        <f>(B8-B6)/B6</f>
        <v>2.0841230718092688E-2</v>
      </c>
      <c r="L8" s="15">
        <f t="shared" ref="L8" si="9">(C8-C6)/C6</f>
        <v>1.4207942261517178E-3</v>
      </c>
      <c r="M8" s="15">
        <f t="shared" ref="M8" si="10">(D8-D6)/D6</f>
        <v>-4.1534272562710932E-3</v>
      </c>
      <c r="N8" s="15">
        <f t="shared" ref="N8" si="11">(E8-E6)/E6</f>
        <v>3.1081042690554267E-5</v>
      </c>
      <c r="O8" s="15">
        <f t="shared" ref="O8" si="12">(F8-F6)/F6</f>
        <v>-4.3496220557730999E-5</v>
      </c>
      <c r="P8" s="15">
        <f t="shared" ref="P8" si="13">(G8-G6)/G6</f>
        <v>-6.1758847925955877E-3</v>
      </c>
      <c r="Q8" s="15">
        <f t="shared" ref="Q8" si="14">(H8-H6)/H6</f>
        <v>2.6681098995082298E-2</v>
      </c>
      <c r="R8" s="15">
        <f t="shared" ref="R8" si="15">(I8-I6)/I6</f>
        <v>-2.601626016260165E-2</v>
      </c>
      <c r="S8" s="14"/>
      <c r="T8" s="16">
        <f t="shared" si="2"/>
        <v>-1.1653633433744027E-2</v>
      </c>
    </row>
    <row r="9" spans="1:20" x14ac:dyDescent="0.25">
      <c r="A9" s="2" t="s">
        <v>2</v>
      </c>
      <c r="B9" s="4">
        <v>13.38</v>
      </c>
      <c r="C9" s="4">
        <v>14.78</v>
      </c>
      <c r="D9" s="4">
        <v>22.779</v>
      </c>
      <c r="E9" s="7">
        <v>90</v>
      </c>
      <c r="F9" s="7">
        <v>90</v>
      </c>
      <c r="G9" s="7">
        <v>123.49</v>
      </c>
      <c r="H9" s="3">
        <v>3762</v>
      </c>
      <c r="I9" s="4">
        <v>2.39</v>
      </c>
      <c r="K9" s="15"/>
      <c r="L9" s="15"/>
      <c r="M9" s="15"/>
      <c r="N9" s="15"/>
      <c r="O9" s="15"/>
      <c r="P9" s="15"/>
      <c r="Q9" s="15"/>
      <c r="R9" s="15"/>
      <c r="S9" s="14"/>
      <c r="T9" s="16"/>
    </row>
    <row r="10" spans="1:20" x14ac:dyDescent="0.25">
      <c r="A10" s="2"/>
      <c r="B10" s="4">
        <v>13.483700106016427</v>
      </c>
      <c r="C10" s="4">
        <v>14.696407791138499</v>
      </c>
      <c r="D10" s="4">
        <v>22.63945670179838</v>
      </c>
      <c r="E10" s="7">
        <v>90.282719998264469</v>
      </c>
      <c r="F10" s="7">
        <v>89.744523233204475</v>
      </c>
      <c r="G10" s="7">
        <v>122.79670151882033</v>
      </c>
      <c r="H10" s="9">
        <v>3770.85</v>
      </c>
      <c r="I10" s="4">
        <v>2.3809999999999998</v>
      </c>
      <c r="K10" s="15">
        <f>(B10-B9)/B9</f>
        <v>7.7503816155774109E-3</v>
      </c>
      <c r="L10" s="15">
        <f t="shared" ref="L10" si="16">(C10-C9)/C9</f>
        <v>-5.6557651462449251E-3</v>
      </c>
      <c r="M10" s="15">
        <f t="shared" ref="M10" si="17">(D10-D9)/D9</f>
        <v>-6.1259624303797175E-3</v>
      </c>
      <c r="N10" s="15">
        <f t="shared" ref="N10" si="18">(E10-E9)/E9</f>
        <v>3.1413333140496509E-3</v>
      </c>
      <c r="O10" s="15">
        <f t="shared" ref="O10" si="19">(F10-F9)/F9</f>
        <v>-2.8386307421724962E-3</v>
      </c>
      <c r="P10" s="15">
        <f t="shared" ref="P10" si="20">(G10-G9)/G9</f>
        <v>-5.6142074757443289E-3</v>
      </c>
      <c r="Q10" s="15">
        <f t="shared" ref="Q10" si="21">(H10-H9)/H9</f>
        <v>2.3524720893141702E-3</v>
      </c>
      <c r="R10" s="15">
        <f>(I10-I9)/I9</f>
        <v>-3.7656903765691803E-3</v>
      </c>
      <c r="S10" s="14"/>
      <c r="T10" s="16">
        <f t="shared" si="2"/>
        <v>-2.5253906549542152E-3</v>
      </c>
    </row>
    <row r="11" spans="1:20" x14ac:dyDescent="0.25">
      <c r="A11" s="2"/>
      <c r="B11" s="4">
        <v>13.66083064972687</v>
      </c>
      <c r="C11" s="4">
        <v>14.782751984945486</v>
      </c>
      <c r="D11" s="4">
        <v>21.891650643009648</v>
      </c>
      <c r="E11" s="7">
        <v>90.010109045302002</v>
      </c>
      <c r="F11" s="7">
        <v>89.998359726059149</v>
      </c>
      <c r="G11" s="7">
        <v>122.78321940417545</v>
      </c>
      <c r="H11" s="9">
        <v>3716.16</v>
      </c>
      <c r="I11" s="4">
        <v>2.4159999999999999</v>
      </c>
      <c r="K11" s="1">
        <f>(B11-B9)/B9</f>
        <v>2.0988837797224928E-2</v>
      </c>
      <c r="L11" s="1">
        <f t="shared" ref="L11" si="22">(C11-C9)/C9</f>
        <v>1.8619654570276701E-4</v>
      </c>
      <c r="M11" s="1">
        <f t="shared" ref="M11" si="23">(D11-D9)/D9</f>
        <v>-3.8954710785826963E-2</v>
      </c>
      <c r="N11" s="1">
        <f t="shared" ref="N11" si="24">(E11-E9)/E9</f>
        <v>1.1232272557780082E-4</v>
      </c>
      <c r="O11" s="1">
        <f t="shared" ref="O11" si="25">(F11-F9)/F9</f>
        <v>-1.8225266009450377E-5</v>
      </c>
      <c r="P11" s="1">
        <f t="shared" ref="P11" si="26">(G11-G9)/G9</f>
        <v>-5.7233832360882673E-3</v>
      </c>
      <c r="Q11" s="1">
        <f t="shared" ref="Q11" si="27">(H11-H9)/H9</f>
        <v>-1.2185007974481698E-2</v>
      </c>
      <c r="R11" s="1">
        <f t="shared" ref="R11" si="28">(I11-I9)/I9</f>
        <v>1.0878661087866025E-2</v>
      </c>
      <c r="T11" s="17">
        <f t="shared" si="2"/>
        <v>-9.167791261731565E-3</v>
      </c>
    </row>
    <row r="12" spans="1:20" x14ac:dyDescent="0.25">
      <c r="A12" s="2" t="s">
        <v>3</v>
      </c>
      <c r="B12" s="4">
        <v>11.156000000000001</v>
      </c>
      <c r="C12" s="4">
        <v>14.606</v>
      </c>
      <c r="D12" s="4">
        <v>19.132000000000001</v>
      </c>
      <c r="E12" s="7">
        <v>101.08</v>
      </c>
      <c r="F12" s="7">
        <v>92.83</v>
      </c>
      <c r="G12" s="7">
        <v>89.98</v>
      </c>
      <c r="H12" s="3">
        <v>3055.5</v>
      </c>
      <c r="I12" s="4">
        <v>2.8650000000000002</v>
      </c>
      <c r="K12" s="1"/>
      <c r="L12" s="1"/>
      <c r="M12" s="1"/>
      <c r="N12" s="1"/>
      <c r="O12" s="1"/>
      <c r="P12" s="1"/>
      <c r="Q12" s="1"/>
      <c r="R12" s="1"/>
      <c r="T12" s="17"/>
    </row>
    <row r="13" spans="1:20" x14ac:dyDescent="0.25">
      <c r="A13" s="2"/>
      <c r="B13" s="6">
        <v>11.208198700436022</v>
      </c>
      <c r="C13" s="6">
        <v>14.441051786281099</v>
      </c>
      <c r="D13" s="6">
        <v>19.375044426454551</v>
      </c>
      <c r="E13" s="8">
        <v>102.92818652052615</v>
      </c>
      <c r="F13" s="8">
        <v>93.962739041990844</v>
      </c>
      <c r="G13" s="8">
        <v>88.308232907594899</v>
      </c>
      <c r="H13" s="9">
        <v>3049.02</v>
      </c>
      <c r="I13" s="6">
        <v>2.871</v>
      </c>
      <c r="K13" s="1">
        <f>(B13-B12)/B12</f>
        <v>4.6789799602026646E-3</v>
      </c>
      <c r="L13" s="1">
        <f t="shared" ref="L13" si="29">(C13-C12)/C12</f>
        <v>-1.1293181823832748E-2</v>
      </c>
      <c r="M13" s="1">
        <f t="shared" ref="M13" si="30">(D13-D12)/D12</f>
        <v>1.2703555637390196E-2</v>
      </c>
      <c r="N13" s="1">
        <f t="shared" ref="N13" si="31">(E13-E12)/E12</f>
        <v>1.828439375273205E-2</v>
      </c>
      <c r="O13" s="1">
        <f t="shared" ref="O13" si="32">(F13-F12)/F12</f>
        <v>1.2202294969200101E-2</v>
      </c>
      <c r="P13" s="1">
        <f t="shared" ref="P13" si="33">(G13-G12)/G12</f>
        <v>-1.8579318653090742E-2</v>
      </c>
      <c r="Q13" s="1">
        <f t="shared" ref="Q13" si="34">(H13-H12)/H12</f>
        <v>-2.1207658321060444E-3</v>
      </c>
      <c r="R13" s="1">
        <f>(I13-I12)/I12</f>
        <v>2.0942408376962594E-3</v>
      </c>
      <c r="T13" s="17">
        <f t="shared" si="2"/>
        <v>2.9234155872130164E-4</v>
      </c>
    </row>
    <row r="14" spans="1:20" x14ac:dyDescent="0.25">
      <c r="A14" s="2"/>
      <c r="B14" s="6">
        <v>11.448519007185784</v>
      </c>
      <c r="C14" s="6">
        <v>14.564976161371199</v>
      </c>
      <c r="D14" s="6">
        <v>19.498921427016828</v>
      </c>
      <c r="E14" s="8">
        <v>103.26384293211305</v>
      </c>
      <c r="F14" s="8">
        <v>93.625600603126699</v>
      </c>
      <c r="G14" s="8">
        <v>88.253237250847363</v>
      </c>
      <c r="H14" s="9">
        <v>3157.71</v>
      </c>
      <c r="I14" s="6">
        <v>2.7719999999999998</v>
      </c>
      <c r="K14" s="1">
        <f>(B14-B12)/B12</f>
        <v>2.6220778700769366E-2</v>
      </c>
      <c r="L14" s="1">
        <f t="shared" ref="L14" si="35">(C14-C12)/C12</f>
        <v>-2.8086977015473846E-3</v>
      </c>
      <c r="M14" s="1">
        <f t="shared" ref="M14" si="36">(D14-D12)/D12</f>
        <v>1.9178414541962514E-2</v>
      </c>
      <c r="N14" s="1">
        <f t="shared" ref="N14" si="37">(E14-E12)/E12</f>
        <v>2.1605094302661772E-2</v>
      </c>
      <c r="O14" s="1">
        <f t="shared" ref="O14" si="38">(F14-F12)/F12</f>
        <v>8.5705117217138947E-3</v>
      </c>
      <c r="P14" s="1">
        <f t="shared" ref="P14" si="39">(G14-G12)/G12</f>
        <v>-1.9190517327768851E-2</v>
      </c>
      <c r="Q14" s="1">
        <f t="shared" ref="Q14" si="40">(H14-H12)/H12</f>
        <v>3.3451153657339236E-2</v>
      </c>
      <c r="R14" s="1">
        <f t="shared" ref="R14" si="41">(I14-I12)/I12</f>
        <v>-3.2460732984293333E-2</v>
      </c>
      <c r="T14" s="17">
        <f t="shared" si="2"/>
        <v>-1.1899990404872589E-2</v>
      </c>
    </row>
    <row r="15" spans="1:20" x14ac:dyDescent="0.25">
      <c r="A15" s="2"/>
      <c r="B15" s="5"/>
      <c r="C15" s="5"/>
      <c r="D15" s="5"/>
      <c r="E15" s="5"/>
      <c r="F15" s="5"/>
      <c r="G15" s="5"/>
      <c r="H15" s="5"/>
      <c r="I15" s="5"/>
      <c r="K15" s="1"/>
      <c r="L15" s="1"/>
      <c r="M15" s="1"/>
      <c r="N15" s="1"/>
      <c r="O15" s="1"/>
      <c r="P15" s="1"/>
      <c r="Q15" s="1"/>
      <c r="R15" s="1"/>
      <c r="T15" s="17"/>
    </row>
    <row r="16" spans="1:20" x14ac:dyDescent="0.25">
      <c r="K16" s="1"/>
      <c r="L16" s="1"/>
      <c r="M16" s="1"/>
      <c r="N16" s="1"/>
      <c r="O16" s="1"/>
      <c r="P16" s="1"/>
      <c r="Q16" s="1"/>
      <c r="R16" s="17">
        <f>_xlfn.STDEV.S(R4:R14)</f>
        <v>1.5957357926598945E-2</v>
      </c>
      <c r="S16" s="17"/>
      <c r="T16" s="17">
        <f>_xlfn.STDEV.S(T4:T14)</f>
        <v>5.7208023858870043E-3</v>
      </c>
    </row>
    <row r="17" spans="1:20" x14ac:dyDescent="0.25">
      <c r="K17" s="1"/>
      <c r="L17" s="1"/>
      <c r="M17" s="1"/>
      <c r="N17" s="1"/>
      <c r="O17" s="1"/>
      <c r="P17" s="1"/>
      <c r="Q17" s="1"/>
      <c r="R17" s="17">
        <f>AVERAGE(R4:R14)</f>
        <v>-9.6402112702288247E-3</v>
      </c>
      <c r="S17" s="17"/>
      <c r="T17" s="17">
        <f>AVERAGE(T4:T14)</f>
        <v>-5.1989784807042212E-3</v>
      </c>
    </row>
    <row r="18" spans="1:20" x14ac:dyDescent="0.25">
      <c r="B18" s="13" t="s">
        <v>7</v>
      </c>
    </row>
    <row r="19" spans="1:20" x14ac:dyDescent="0.25">
      <c r="A19" s="2" t="s">
        <v>0</v>
      </c>
      <c r="B19" s="4">
        <f>1.347*10</f>
        <v>13.469999999999999</v>
      </c>
      <c r="C19" s="4">
        <v>14.85</v>
      </c>
      <c r="D19" s="4">
        <v>27.986999999999998</v>
      </c>
      <c r="E19" s="7">
        <v>90</v>
      </c>
      <c r="F19" s="7">
        <v>90</v>
      </c>
      <c r="G19" s="7">
        <v>123.25</v>
      </c>
      <c r="H19" s="3">
        <v>4681.6000000000004</v>
      </c>
      <c r="I19" s="4">
        <v>2.23</v>
      </c>
    </row>
    <row r="20" spans="1:20" x14ac:dyDescent="0.25">
      <c r="A20" s="2"/>
      <c r="B20" s="6">
        <v>13.527364525896409</v>
      </c>
      <c r="C20" s="6">
        <v>14.683999999999999</v>
      </c>
      <c r="D20" s="6">
        <v>28.035217000000006</v>
      </c>
      <c r="E20" s="8">
        <v>89.997275996015901</v>
      </c>
      <c r="F20" s="8">
        <v>89.949863374501959</v>
      </c>
      <c r="G20" s="8">
        <v>122.55976577689248</v>
      </c>
      <c r="H20" s="9">
        <v>4691.4382350597616</v>
      </c>
      <c r="I20" s="6">
        <v>2.2229577964143417</v>
      </c>
      <c r="K20" s="1">
        <f>(B20-B19)/B19</f>
        <v>4.2586878913445153E-3</v>
      </c>
      <c r="L20" s="1">
        <f t="shared" ref="L20:Q20" si="42">(C20-C19)/C19</f>
        <v>-1.1178451178451204E-2</v>
      </c>
      <c r="M20" s="1">
        <f t="shared" si="42"/>
        <v>1.722835602244191E-3</v>
      </c>
      <c r="N20" s="1">
        <f t="shared" si="42"/>
        <v>-3.0266710934433327E-5</v>
      </c>
      <c r="O20" s="1">
        <f t="shared" si="42"/>
        <v>-5.570736166449011E-4</v>
      </c>
      <c r="P20" s="1">
        <f t="shared" si="42"/>
        <v>-5.6002776722719983E-3</v>
      </c>
      <c r="Q20" s="1">
        <f t="shared" si="42"/>
        <v>2.1014685278027264E-3</v>
      </c>
      <c r="R20" s="1">
        <f>(I20-I19)/I19</f>
        <v>-3.1579388276494727E-3</v>
      </c>
      <c r="S20" s="1"/>
    </row>
    <row r="21" spans="1:20" x14ac:dyDescent="0.25">
      <c r="A21" s="2"/>
      <c r="B21" s="6">
        <v>13.552131298804785</v>
      </c>
      <c r="C21" s="6">
        <v>14.722</v>
      </c>
      <c r="D21" s="6">
        <v>27.522119896414353</v>
      </c>
      <c r="E21" s="8">
        <v>90.098001055776948</v>
      </c>
      <c r="F21" s="8">
        <v>89.742835075697229</v>
      </c>
      <c r="G21" s="8">
        <v>122.32328860557764</v>
      </c>
      <c r="H21" s="9">
        <v>4640.8229155378494</v>
      </c>
      <c r="I21" s="6">
        <v>2.247194741035857</v>
      </c>
      <c r="K21" s="1">
        <f>(B21-B19)/B19</f>
        <v>6.097349577192707E-3</v>
      </c>
      <c r="L21" s="1">
        <f t="shared" ref="L21:R21" si="43">(C21-C19)/C19</f>
        <v>-8.6195286195286276E-3</v>
      </c>
      <c r="M21" s="1">
        <f t="shared" si="43"/>
        <v>-1.66105728940453E-2</v>
      </c>
      <c r="N21" s="1">
        <f t="shared" si="43"/>
        <v>1.0889006197438611E-3</v>
      </c>
      <c r="O21" s="1">
        <f t="shared" si="43"/>
        <v>-2.8573880478085633E-3</v>
      </c>
      <c r="P21" s="1">
        <f t="shared" si="43"/>
        <v>-7.5189565470373653E-3</v>
      </c>
      <c r="Q21" s="1">
        <f t="shared" si="43"/>
        <v>-8.7100744322776234E-3</v>
      </c>
      <c r="R21" s="1">
        <f t="shared" si="43"/>
        <v>7.7106462044202028E-3</v>
      </c>
    </row>
    <row r="22" spans="1:20" x14ac:dyDescent="0.25">
      <c r="A22" s="2" t="s">
        <v>1</v>
      </c>
      <c r="B22" s="4">
        <v>13.47</v>
      </c>
      <c r="C22" s="4">
        <v>14.77</v>
      </c>
      <c r="D22" s="4">
        <v>22.486999999999998</v>
      </c>
      <c r="E22" s="7">
        <v>90</v>
      </c>
      <c r="F22" s="7">
        <v>90</v>
      </c>
      <c r="G22" s="7">
        <v>123.25</v>
      </c>
      <c r="H22" s="3">
        <v>3741.6</v>
      </c>
      <c r="I22" s="4">
        <v>2.46</v>
      </c>
      <c r="K22" s="1"/>
      <c r="L22" s="1"/>
      <c r="M22" s="1"/>
      <c r="N22" s="1"/>
      <c r="O22" s="1"/>
      <c r="P22" s="1"/>
      <c r="Q22" s="1"/>
      <c r="R22" s="1"/>
    </row>
    <row r="23" spans="1:20" x14ac:dyDescent="0.25">
      <c r="A23" s="2"/>
      <c r="B23" s="6">
        <v>13.700149346613552</v>
      </c>
      <c r="C23" s="6">
        <v>14.752000000000001</v>
      </c>
      <c r="D23" s="6">
        <v>22.559770207171322</v>
      </c>
      <c r="E23" s="8">
        <v>90.000569625498031</v>
      </c>
      <c r="F23" s="8">
        <v>89.998882880478135</v>
      </c>
      <c r="G23" s="8">
        <v>122.57879031872511</v>
      </c>
      <c r="H23" s="9">
        <v>3840.8791139442228</v>
      </c>
      <c r="I23" s="6">
        <v>2.3966125593625489</v>
      </c>
      <c r="K23" s="1">
        <f>(B23-B22)/B22</f>
        <v>1.7086068790909511E-2</v>
      </c>
      <c r="L23" s="1">
        <f t="shared" ref="L23:Q23" si="44">(C23-C22)/C22</f>
        <v>-1.2186865267433248E-3</v>
      </c>
      <c r="M23" s="1">
        <f t="shared" si="44"/>
        <v>3.2361011771834341E-3</v>
      </c>
      <c r="N23" s="1">
        <f t="shared" si="44"/>
        <v>6.3291722003416197E-6</v>
      </c>
      <c r="O23" s="1">
        <f t="shared" si="44"/>
        <v>-1.2412439131834515E-5</v>
      </c>
      <c r="P23" s="1">
        <f t="shared" si="44"/>
        <v>-5.4459203348875308E-3</v>
      </c>
      <c r="Q23" s="1">
        <f t="shared" si="44"/>
        <v>2.6533866245516062E-2</v>
      </c>
      <c r="R23" s="1">
        <f>(I23-I22)/I22</f>
        <v>-2.576725229164677E-2</v>
      </c>
    </row>
    <row r="24" spans="1:20" x14ac:dyDescent="0.25">
      <c r="A24" s="2"/>
      <c r="B24" s="6">
        <v>13.684382043824694</v>
      </c>
      <c r="C24" s="6">
        <v>14.772</v>
      </c>
      <c r="D24" s="6">
        <v>22.294321557768924</v>
      </c>
      <c r="E24" s="8">
        <v>89.998158537848624</v>
      </c>
      <c r="F24" s="8">
        <v>90.000798430278905</v>
      </c>
      <c r="G24" s="8">
        <v>122.62431976095615</v>
      </c>
      <c r="H24" s="9">
        <v>3796.4125195219117</v>
      </c>
      <c r="I24" s="6">
        <v>2.4246679382470102</v>
      </c>
      <c r="K24" s="1">
        <f>(B24-B22)/B22</f>
        <v>1.591551921489931E-2</v>
      </c>
      <c r="L24" s="1">
        <f t="shared" ref="L24:R24" si="45">(C24-C22)/C22</f>
        <v>1.3540961408264508E-4</v>
      </c>
      <c r="M24" s="1">
        <f t="shared" si="45"/>
        <v>-8.5684369738548444E-3</v>
      </c>
      <c r="N24" s="1">
        <f t="shared" si="45"/>
        <v>-2.046069057083994E-5</v>
      </c>
      <c r="O24" s="1">
        <f t="shared" si="45"/>
        <v>8.8714475433941207E-6</v>
      </c>
      <c r="P24" s="1">
        <f t="shared" si="45"/>
        <v>-5.0765130956904273E-3</v>
      </c>
      <c r="Q24" s="1">
        <f t="shared" si="45"/>
        <v>1.4649486722768812E-2</v>
      </c>
      <c r="R24" s="1">
        <f t="shared" si="45"/>
        <v>-1.4362626728857623E-2</v>
      </c>
    </row>
    <row r="25" spans="1:20" x14ac:dyDescent="0.25">
      <c r="A25" s="2" t="s">
        <v>2</v>
      </c>
      <c r="B25" s="4">
        <v>13.38</v>
      </c>
      <c r="C25" s="4">
        <v>14.78</v>
      </c>
      <c r="D25" s="4">
        <v>22.779</v>
      </c>
      <c r="E25" s="7">
        <v>90</v>
      </c>
      <c r="F25" s="7">
        <v>90</v>
      </c>
      <c r="G25" s="7">
        <v>123.49</v>
      </c>
      <c r="H25" s="3">
        <v>3762</v>
      </c>
      <c r="I25" s="4">
        <v>2.39</v>
      </c>
      <c r="K25" s="1"/>
      <c r="L25" s="1"/>
      <c r="M25" s="1"/>
      <c r="N25" s="1"/>
      <c r="O25" s="1"/>
      <c r="P25" s="1"/>
      <c r="Q25" s="1"/>
      <c r="R25" s="1"/>
    </row>
    <row r="26" spans="1:20" x14ac:dyDescent="0.25">
      <c r="A26" s="2"/>
      <c r="B26" s="4">
        <v>13.524737346613545</v>
      </c>
      <c r="C26" s="4">
        <v>14.869</v>
      </c>
      <c r="D26" s="4">
        <v>22.574476438247011</v>
      </c>
      <c r="E26" s="7">
        <v>89.998520266932303</v>
      </c>
      <c r="F26" s="7">
        <v>90.00558201992034</v>
      </c>
      <c r="G26" s="7">
        <v>123.05250756972119</v>
      </c>
      <c r="H26" s="3">
        <v>3761.7456262948208</v>
      </c>
      <c r="I26" s="4">
        <v>2.3870356836653404</v>
      </c>
      <c r="K26" s="1">
        <f>(B26-B25)/B25</f>
        <v>1.0817439956169222E-2</v>
      </c>
      <c r="L26" s="1">
        <f t="shared" ref="L26:Q26" si="46">(C26-C25)/C25</f>
        <v>6.0216508795670103E-3</v>
      </c>
      <c r="M26" s="1">
        <f t="shared" si="46"/>
        <v>-8.9786014202989164E-3</v>
      </c>
      <c r="N26" s="1">
        <f t="shared" si="46"/>
        <v>-1.6441478529966643E-5</v>
      </c>
      <c r="O26" s="1">
        <f t="shared" si="46"/>
        <v>6.2022443559328627E-5</v>
      </c>
      <c r="P26" s="1">
        <f t="shared" si="46"/>
        <v>-3.542735689357914E-3</v>
      </c>
      <c r="Q26" s="1">
        <f t="shared" si="46"/>
        <v>-6.7616614880171448E-5</v>
      </c>
      <c r="R26" s="1">
        <f>(I26-I25)/I25</f>
        <v>-1.2402997216149651E-3</v>
      </c>
    </row>
    <row r="27" spans="1:20" x14ac:dyDescent="0.25">
      <c r="A27" s="2"/>
      <c r="B27" s="4">
        <v>13.602126589641438</v>
      </c>
      <c r="C27" s="4">
        <v>14.76</v>
      </c>
      <c r="D27" s="4">
        <v>21.852940039840636</v>
      </c>
      <c r="E27" s="7">
        <v>90.002455478087583</v>
      </c>
      <c r="F27" s="7">
        <v>90.001723370517922</v>
      </c>
      <c r="G27" s="7">
        <v>122.94721394422318</v>
      </c>
      <c r="H27" s="3">
        <v>3683.1998621513944</v>
      </c>
      <c r="I27" s="4">
        <v>2.4379110211155384</v>
      </c>
      <c r="K27" s="1">
        <f>(B27-B25)/B25</f>
        <v>1.660138936034658E-2</v>
      </c>
      <c r="L27" s="1">
        <f t="shared" ref="L27:R27" si="47">(C27-C25)/C25</f>
        <v>-1.3531799729363718E-3</v>
      </c>
      <c r="M27" s="1">
        <f t="shared" si="47"/>
        <v>-4.0654109493804116E-2</v>
      </c>
      <c r="N27" s="1">
        <f t="shared" si="47"/>
        <v>2.7283089862035266E-5</v>
      </c>
      <c r="O27" s="1">
        <f t="shared" si="47"/>
        <v>1.914856131024736E-5</v>
      </c>
      <c r="P27" s="1">
        <f t="shared" si="47"/>
        <v>-4.3953846933097061E-3</v>
      </c>
      <c r="Q27" s="1">
        <f t="shared" si="47"/>
        <v>-2.0946341799204033E-2</v>
      </c>
      <c r="R27" s="1">
        <f t="shared" si="47"/>
        <v>2.004645234959759E-2</v>
      </c>
    </row>
    <row r="28" spans="1:20" x14ac:dyDescent="0.25">
      <c r="A28" s="2" t="s">
        <v>3</v>
      </c>
      <c r="B28" s="4">
        <v>11.156000000000001</v>
      </c>
      <c r="C28" s="4">
        <v>14.606</v>
      </c>
      <c r="D28" s="4">
        <v>19.132000000000001</v>
      </c>
      <c r="E28" s="7">
        <v>101.08</v>
      </c>
      <c r="F28" s="7">
        <v>92.83</v>
      </c>
      <c r="G28" s="7">
        <v>89.98</v>
      </c>
      <c r="H28" s="3">
        <v>3055.5</v>
      </c>
      <c r="I28" s="4">
        <v>2.8650000000000002</v>
      </c>
      <c r="K28" s="1"/>
      <c r="L28" s="1"/>
      <c r="M28" s="1"/>
      <c r="N28" s="1"/>
      <c r="O28" s="1"/>
      <c r="P28" s="1"/>
      <c r="Q28" s="1"/>
      <c r="R28" s="1"/>
    </row>
    <row r="29" spans="1:20" x14ac:dyDescent="0.25">
      <c r="A29" s="2"/>
      <c r="B29" s="6">
        <v>11.209621027888456</v>
      </c>
      <c r="C29" s="6">
        <v>14.43771252589641</v>
      </c>
      <c r="D29" s="6">
        <v>18.844666450199195</v>
      </c>
      <c r="E29" s="8">
        <v>102.9230365737052</v>
      </c>
      <c r="F29" s="8">
        <v>93.962530645418283</v>
      </c>
      <c r="G29" s="8">
        <v>88.308821243027865</v>
      </c>
      <c r="H29" s="9">
        <v>3049.8216956175311</v>
      </c>
      <c r="I29" s="6">
        <v>2.8701624414342635</v>
      </c>
      <c r="K29" s="1">
        <f>(B29-B28)/B28</f>
        <v>4.8064743535725781E-3</v>
      </c>
      <c r="L29" s="1">
        <f t="shared" ref="L29:Q29" si="48">(C29-C28)/C28</f>
        <v>-1.1521804334081171E-2</v>
      </c>
      <c r="M29" s="1">
        <f t="shared" si="48"/>
        <v>-1.5018479500355741E-2</v>
      </c>
      <c r="N29" s="1">
        <f t="shared" si="48"/>
        <v>1.8233444536062581E-2</v>
      </c>
      <c r="O29" s="1">
        <f t="shared" si="48"/>
        <v>1.2200050042209254E-2</v>
      </c>
      <c r="P29" s="1">
        <f t="shared" si="48"/>
        <v>-1.8572780139721488E-2</v>
      </c>
      <c r="Q29" s="1">
        <f t="shared" si="48"/>
        <v>-1.8583879504071095E-3</v>
      </c>
      <c r="R29" s="1">
        <f>(I29-I28)/I28</f>
        <v>1.8018992789749578E-3</v>
      </c>
    </row>
    <row r="30" spans="1:20" x14ac:dyDescent="0.25">
      <c r="A30" s="2"/>
      <c r="B30" s="6">
        <v>11.386627904382465</v>
      </c>
      <c r="C30" s="6">
        <v>14.544059904382481</v>
      </c>
      <c r="D30" s="6">
        <v>18.836511649402386</v>
      </c>
      <c r="E30" s="8">
        <v>103.29064103585664</v>
      </c>
      <c r="F30" s="8">
        <v>93.749464617529853</v>
      </c>
      <c r="G30" s="8">
        <v>88.206633067729058</v>
      </c>
      <c r="H30" s="9">
        <v>3119.4423549800799</v>
      </c>
      <c r="I30" s="6">
        <v>2.8060934725099598</v>
      </c>
      <c r="K30" s="1">
        <f>(B30-B28)/B28</f>
        <v>2.0672992504702774E-2</v>
      </c>
      <c r="L30" s="1">
        <f t="shared" ref="L30:R30" si="49">(C30-C28)/C28</f>
        <v>-4.2407295370066496E-3</v>
      </c>
      <c r="M30" s="1">
        <f t="shared" si="49"/>
        <v>-1.5444718304286826E-2</v>
      </c>
      <c r="N30" s="1">
        <f t="shared" si="49"/>
        <v>2.1870212068229516E-2</v>
      </c>
      <c r="O30" s="1">
        <f t="shared" si="49"/>
        <v>9.9048219059555583E-3</v>
      </c>
      <c r="P30" s="1">
        <f t="shared" si="49"/>
        <v>-1.9708456682273237E-2</v>
      </c>
      <c r="Q30" s="1">
        <f t="shared" si="49"/>
        <v>2.0926969392924211E-2</v>
      </c>
      <c r="R30" s="1">
        <f t="shared" si="49"/>
        <v>-2.0560742579420744E-2</v>
      </c>
    </row>
    <row r="31" spans="1:20" x14ac:dyDescent="0.25">
      <c r="K31" s="6"/>
      <c r="L31" s="6"/>
      <c r="M31" s="6"/>
      <c r="N31" s="6"/>
      <c r="O31" s="6"/>
      <c r="P31" s="6"/>
      <c r="Q31" s="6"/>
      <c r="R31" s="6"/>
    </row>
    <row r="32" spans="1:20" x14ac:dyDescent="0.25">
      <c r="R32" s="1">
        <f>_xlfn.STDEV.S(R20:R30)</f>
        <v>1.5171666081640943E-2</v>
      </c>
    </row>
    <row r="33" spans="1:18" x14ac:dyDescent="0.25">
      <c r="B33" s="13" t="s">
        <v>5</v>
      </c>
      <c r="R33" s="1">
        <f>AVERAGE(R20:R30)</f>
        <v>-4.4412327895246026E-3</v>
      </c>
    </row>
    <row r="34" spans="1:18" ht="15.75" thickBot="1" x14ac:dyDescent="0.3">
      <c r="A34" s="2" t="s">
        <v>0</v>
      </c>
      <c r="B34" s="4">
        <f>1.347*10</f>
        <v>13.469999999999999</v>
      </c>
      <c r="C34" s="4">
        <v>14.85</v>
      </c>
      <c r="D34" s="4">
        <v>27.986999999999998</v>
      </c>
      <c r="E34" s="7">
        <v>90</v>
      </c>
      <c r="F34" s="7">
        <v>90</v>
      </c>
      <c r="G34" s="7">
        <v>123.25</v>
      </c>
      <c r="H34" s="3">
        <v>4681.6000000000004</v>
      </c>
      <c r="I34" s="4">
        <v>2.23</v>
      </c>
    </row>
    <row r="35" spans="1:18" ht="15.75" thickBot="1" x14ac:dyDescent="0.3">
      <c r="A35" s="2"/>
      <c r="B35" s="6">
        <f>2*6.69476691463385</f>
        <v>13.3895338292677</v>
      </c>
      <c r="C35" s="6">
        <f>2*7.38736288420141</f>
        <v>14.774725768402821</v>
      </c>
      <c r="D35" s="6">
        <v>28.546073447708718</v>
      </c>
      <c r="E35" s="8">
        <v>92.731410510122572</v>
      </c>
      <c r="F35" s="8">
        <v>84.730794119961061</v>
      </c>
      <c r="G35" s="8">
        <v>123.52354368190771</v>
      </c>
      <c r="H35" s="9" t="e">
        <v>#DIV/0!</v>
      </c>
      <c r="I35" s="6">
        <v>2.2274701971763995</v>
      </c>
      <c r="J35">
        <v>2.246</v>
      </c>
      <c r="K35" s="10">
        <f>(B35-B34)/B34</f>
        <v>-5.9737320513956124E-3</v>
      </c>
      <c r="L35" s="11">
        <f t="shared" ref="L35" si="50">(C35-C34)/C34</f>
        <v>-5.0689718247258625E-3</v>
      </c>
      <c r="M35" s="11">
        <f t="shared" ref="M35" si="51">(D35-D34)/D34</f>
        <v>1.9976183503366548E-2</v>
      </c>
      <c r="N35" s="11">
        <f t="shared" ref="N35" si="52">(E35-E34)/E34</f>
        <v>3.0349005668028579E-2</v>
      </c>
      <c r="O35" s="11">
        <f t="shared" ref="O35" si="53">(F35-F34)/F34</f>
        <v>-5.8546732000432658E-2</v>
      </c>
      <c r="P35" s="11">
        <f t="shared" ref="P35" si="54">(G35-G34)/G34</f>
        <v>2.2194213542207773E-3</v>
      </c>
      <c r="Q35" s="11" t="e">
        <f t="shared" ref="Q35" si="55">(H35-H34)/H34</f>
        <v>#DIV/0!</v>
      </c>
      <c r="R35" s="12">
        <f>(I35-I34)/I34</f>
        <v>-1.134440728071969E-3</v>
      </c>
    </row>
    <row r="36" spans="1:18" x14ac:dyDescent="0.25">
      <c r="A36" s="2"/>
      <c r="B36" s="6"/>
      <c r="C36" s="6"/>
      <c r="D36" s="6"/>
      <c r="E36" s="8"/>
      <c r="F36" s="8"/>
      <c r="G36" s="8"/>
      <c r="H36" s="9"/>
      <c r="I36" s="6"/>
    </row>
    <row r="37" spans="1:18" ht="15.75" thickBot="1" x14ac:dyDescent="0.3">
      <c r="A37" s="2" t="s">
        <v>1</v>
      </c>
      <c r="B37" s="4">
        <v>13.47</v>
      </c>
      <c r="C37" s="4">
        <v>14.77</v>
      </c>
      <c r="D37" s="4">
        <v>22.486999999999998</v>
      </c>
      <c r="E37" s="7">
        <v>90</v>
      </c>
      <c r="F37" s="7">
        <v>90</v>
      </c>
      <c r="G37" s="7">
        <v>123.25</v>
      </c>
      <c r="H37" s="3">
        <v>3741.6</v>
      </c>
      <c r="I37" s="4">
        <v>2.46</v>
      </c>
    </row>
    <row r="38" spans="1:18" ht="15.75" thickBot="1" x14ac:dyDescent="0.3">
      <c r="A38" s="2"/>
      <c r="B38" s="6">
        <f>2*6.78371746157564</f>
        <v>13.56743492315128</v>
      </c>
      <c r="C38" s="6">
        <f>2*7.4009041627643</f>
        <v>14.801808325528601</v>
      </c>
      <c r="D38" s="6">
        <v>22.568089369000081</v>
      </c>
      <c r="E38" s="8">
        <v>89.991690732112403</v>
      </c>
      <c r="F38" s="8">
        <v>90.131346375036443</v>
      </c>
      <c r="G38" s="8">
        <v>123.00845319852766</v>
      </c>
      <c r="H38" s="9" t="e">
        <v>#DIV/0!</v>
      </c>
      <c r="I38" s="6">
        <v>2.4226854916050193</v>
      </c>
      <c r="K38" s="10">
        <f>(B38-B37)/B37</f>
        <v>7.2334761062568418E-3</v>
      </c>
      <c r="L38" s="11">
        <f t="shared" ref="L38" si="56">(C38-C37)/C37</f>
        <v>2.153576542220802E-3</v>
      </c>
      <c r="M38" s="11">
        <f t="shared" ref="M38" si="57">(D38-D37)/D37</f>
        <v>3.6060554542661299E-3</v>
      </c>
      <c r="N38" s="11">
        <f t="shared" ref="N38" si="58">(E38-E37)/E37</f>
        <v>-9.2325198751079066E-5</v>
      </c>
      <c r="O38" s="11">
        <f t="shared" ref="O38" si="59">(F38-F37)/F37</f>
        <v>1.4594041670715936E-3</v>
      </c>
      <c r="P38" s="11">
        <f t="shared" ref="P38" si="60">(G38-G37)/G37</f>
        <v>-1.9598117766518358E-3</v>
      </c>
      <c r="Q38" s="11" t="e">
        <f t="shared" ref="Q38" si="61">(H38-H37)/H37</f>
        <v>#DIV/0!</v>
      </c>
      <c r="R38" s="12">
        <f>(I38-I37)/I37</f>
        <v>-1.5168499347553101E-2</v>
      </c>
    </row>
    <row r="39" spans="1:18" x14ac:dyDescent="0.25">
      <c r="A39" s="2"/>
      <c r="B39" s="6"/>
      <c r="C39" s="6"/>
      <c r="D39" s="6"/>
      <c r="E39" s="8"/>
      <c r="F39" s="8"/>
      <c r="G39" s="8"/>
      <c r="H39" s="9"/>
      <c r="I39" s="6"/>
    </row>
    <row r="40" spans="1:18" x14ac:dyDescent="0.25">
      <c r="A40" s="2" t="s">
        <v>2</v>
      </c>
      <c r="B40" s="4">
        <v>13.38</v>
      </c>
      <c r="C40" s="4">
        <v>14.78</v>
      </c>
      <c r="D40" s="4">
        <v>22.779</v>
      </c>
      <c r="E40" s="7">
        <v>90</v>
      </c>
      <c r="F40" s="7">
        <v>90</v>
      </c>
      <c r="G40" s="7">
        <v>123.49</v>
      </c>
      <c r="H40" s="3">
        <v>3762</v>
      </c>
      <c r="I40" s="4">
        <v>2.39</v>
      </c>
    </row>
    <row r="41" spans="1:18" x14ac:dyDescent="0.25">
      <c r="A41" s="2"/>
      <c r="B41" s="4"/>
      <c r="C41" s="4"/>
      <c r="D41" s="4"/>
      <c r="E41" s="7"/>
      <c r="F41" s="7"/>
      <c r="G41" s="7"/>
      <c r="H41" s="3"/>
      <c r="I41" s="4"/>
    </row>
    <row r="42" spans="1:18" x14ac:dyDescent="0.25">
      <c r="A42" s="2"/>
      <c r="B42" s="4"/>
      <c r="C42" s="4"/>
      <c r="D42" s="4"/>
      <c r="E42" s="7"/>
      <c r="F42" s="7"/>
      <c r="G42" s="7"/>
      <c r="H42" s="3"/>
      <c r="I42" s="4"/>
    </row>
    <row r="43" spans="1:18" ht="15.75" thickBot="1" x14ac:dyDescent="0.3">
      <c r="A43" s="2" t="s">
        <v>3</v>
      </c>
      <c r="B43" s="4">
        <v>11.156000000000001</v>
      </c>
      <c r="C43" s="4">
        <v>14.606</v>
      </c>
      <c r="D43" s="4">
        <v>19.132000000000001</v>
      </c>
      <c r="E43" s="7">
        <v>101.08</v>
      </c>
      <c r="F43" s="7">
        <v>92.83</v>
      </c>
      <c r="G43" s="7">
        <v>89.98</v>
      </c>
      <c r="H43" s="3">
        <v>3055.5</v>
      </c>
      <c r="I43" s="4">
        <v>2.8650000000000002</v>
      </c>
    </row>
    <row r="44" spans="1:18" ht="15.75" thickBot="1" x14ac:dyDescent="0.3">
      <c r="A44" s="2"/>
      <c r="B44" s="6">
        <v>11.227089509090124</v>
      </c>
      <c r="C44" s="6">
        <v>14.556191766065112</v>
      </c>
      <c r="D44" s="6">
        <v>19.506207881612724</v>
      </c>
      <c r="E44" s="8">
        <v>103.22677813616372</v>
      </c>
      <c r="F44" s="8">
        <v>92.776906825842403</v>
      </c>
      <c r="G44" s="8">
        <v>87.681815717614469</v>
      </c>
      <c r="H44" s="9" t="e">
        <v>#DIV/0!</v>
      </c>
      <c r="I44" s="6">
        <v>2.8260000000000001</v>
      </c>
      <c r="K44" s="10">
        <f>(B44-B43)/B43</f>
        <v>6.3723116789282507E-3</v>
      </c>
      <c r="L44" s="11">
        <f t="shared" ref="L44" si="62">(C44-C43)/C43</f>
        <v>-3.4101214524776104E-3</v>
      </c>
      <c r="M44" s="11">
        <f t="shared" ref="M44" si="63">(D44-D43)/D43</f>
        <v>1.9559266235245794E-2</v>
      </c>
      <c r="N44" s="11">
        <f t="shared" ref="N44" si="64">(E44-E43)/E43</f>
        <v>2.1238406570673902E-2</v>
      </c>
      <c r="O44" s="11">
        <f t="shared" ref="O44" si="65">(F44-F43)/F43</f>
        <v>-5.7193982718512892E-4</v>
      </c>
      <c r="P44" s="11">
        <f t="shared" ref="P44" si="66">(G44-G43)/G43</f>
        <v>-2.5541056705773887E-2</v>
      </c>
      <c r="Q44" s="11" t="e">
        <f t="shared" ref="Q44" si="67">(H44-H43)/H43</f>
        <v>#DIV/0!</v>
      </c>
      <c r="R44" s="12">
        <f>(I44-I43)/I43</f>
        <v>-1.3612565445026228E-2</v>
      </c>
    </row>
    <row r="45" spans="1:18" x14ac:dyDescent="0.25">
      <c r="A45" s="2"/>
      <c r="B45" s="6"/>
      <c r="C45" s="6"/>
      <c r="D45" s="6"/>
      <c r="E45" s="8"/>
      <c r="F45" s="8"/>
      <c r="G45" s="8"/>
      <c r="H45" s="9"/>
      <c r="I45" s="6"/>
    </row>
    <row r="47" spans="1:18" x14ac:dyDescent="0.25">
      <c r="B47" s="13" t="s">
        <v>6</v>
      </c>
    </row>
    <row r="48" spans="1:18" ht="15.75" thickBot="1" x14ac:dyDescent="0.3">
      <c r="A48" s="2" t="s">
        <v>0</v>
      </c>
      <c r="B48" s="4">
        <f>1.347*10</f>
        <v>13.469999999999999</v>
      </c>
      <c r="C48" s="4">
        <v>14.85</v>
      </c>
      <c r="D48" s="4">
        <v>27.986999999999998</v>
      </c>
      <c r="E48" s="7">
        <v>90</v>
      </c>
      <c r="F48" s="7">
        <v>90</v>
      </c>
      <c r="G48" s="7">
        <v>123.25</v>
      </c>
      <c r="H48" s="3">
        <v>4681.6000000000004</v>
      </c>
      <c r="I48" s="4">
        <v>2.23</v>
      </c>
    </row>
    <row r="49" spans="1:18" ht="15.75" thickBot="1" x14ac:dyDescent="0.3">
      <c r="A49" s="2"/>
      <c r="B49" s="6">
        <v>13.439102729083663</v>
      </c>
      <c r="C49" s="6">
        <v>12.310996163346619</v>
      </c>
      <c r="D49" s="6">
        <v>28.129087749003979</v>
      </c>
      <c r="E49" s="8">
        <v>89.603476701195262</v>
      </c>
      <c r="F49" s="8">
        <v>90.266849972111544</v>
      </c>
      <c r="G49" s="8">
        <v>123.41295816733071</v>
      </c>
      <c r="H49" s="9">
        <v>4653.8317880478135</v>
      </c>
      <c r="I49" s="6">
        <v>2.2409457752988065</v>
      </c>
      <c r="K49" s="10">
        <f>(B49-B48)/B48</f>
        <v>-2.293784032393169E-3</v>
      </c>
      <c r="L49" s="11">
        <f t="shared" ref="L49" si="68">(C49-C48)/C48</f>
        <v>-0.17097668933692797</v>
      </c>
      <c r="M49" s="11">
        <f t="shared" ref="M49" si="69">(D49-D48)/D48</f>
        <v>5.0769196056733735E-3</v>
      </c>
      <c r="N49" s="11">
        <f t="shared" ref="N49" si="70">(E49-E48)/E48</f>
        <v>-4.4058144311637506E-3</v>
      </c>
      <c r="O49" s="11">
        <f t="shared" ref="O49" si="71">(F49-F48)/F48</f>
        <v>2.9649996901282647E-3</v>
      </c>
      <c r="P49" s="11">
        <f t="shared" ref="P49" si="72">(G49-G48)/G48</f>
        <v>1.322175799843524E-3</v>
      </c>
      <c r="Q49" s="11">
        <f t="shared" ref="Q49" si="73">(H49-H48)/H48</f>
        <v>-5.9313508100194163E-3</v>
      </c>
      <c r="R49" s="12">
        <f>(I49-I48)/I48</f>
        <v>4.9084194165051435E-3</v>
      </c>
    </row>
    <row r="50" spans="1:18" x14ac:dyDescent="0.25">
      <c r="A50" s="2"/>
      <c r="B50" s="6"/>
      <c r="C50" s="6"/>
      <c r="D50" s="6"/>
      <c r="E50" s="8"/>
      <c r="F50" s="8"/>
      <c r="G50" s="8"/>
      <c r="H50" s="9"/>
      <c r="I50" s="6"/>
    </row>
    <row r="51" spans="1:18" ht="15.75" thickBot="1" x14ac:dyDescent="0.3">
      <c r="A51" s="2" t="s">
        <v>1</v>
      </c>
      <c r="B51" s="4">
        <v>13.47</v>
      </c>
      <c r="C51" s="4">
        <v>14.77</v>
      </c>
      <c r="D51" s="4">
        <v>22.486999999999998</v>
      </c>
      <c r="E51" s="7">
        <v>90</v>
      </c>
      <c r="F51" s="7">
        <v>90</v>
      </c>
      <c r="G51" s="7">
        <v>123.25</v>
      </c>
      <c r="H51" s="3">
        <v>3741.6</v>
      </c>
      <c r="I51" s="4">
        <v>2.46</v>
      </c>
    </row>
    <row r="52" spans="1:18" ht="15.75" thickBot="1" x14ac:dyDescent="0.3">
      <c r="A52" s="2"/>
      <c r="B52" s="6">
        <v>13.560605250996009</v>
      </c>
      <c r="C52" s="6">
        <v>12.414588</v>
      </c>
      <c r="D52" s="6">
        <v>22.545234888446188</v>
      </c>
      <c r="E52" s="8">
        <v>89.99693650199201</v>
      </c>
      <c r="F52" s="8">
        <v>89.970775920318701</v>
      </c>
      <c r="G52" s="8">
        <v>123.05532322709166</v>
      </c>
      <c r="H52" s="9">
        <v>3795.4547039840636</v>
      </c>
      <c r="I52" s="6">
        <v>2.4252910725099608</v>
      </c>
      <c r="K52" s="10">
        <f>(B52-B51)/B51</f>
        <v>6.7264477354126223E-3</v>
      </c>
      <c r="L52" s="11">
        <f t="shared" ref="L52" si="74">(C52-C51)/C51</f>
        <v>-0.15947271496276233</v>
      </c>
      <c r="M52" s="11">
        <f t="shared" ref="M52" si="75">(D52-D51)/D51</f>
        <v>2.5897135432111922E-3</v>
      </c>
      <c r="N52" s="11">
        <f t="shared" ref="N52" si="76">(E52-E51)/E51</f>
        <v>-3.4038866755439457E-5</v>
      </c>
      <c r="O52" s="11">
        <f t="shared" ref="O52" si="77">(F52-F51)/F51</f>
        <v>-3.2471199645887813E-4</v>
      </c>
      <c r="P52" s="11">
        <f t="shared" ref="P52" si="78">(G52-G51)/G51</f>
        <v>-1.5795275692360052E-3</v>
      </c>
      <c r="Q52" s="11">
        <f t="shared" ref="Q52" si="79">(H52-H51)/H51</f>
        <v>1.4393495826401457E-2</v>
      </c>
      <c r="R52" s="12">
        <f>(I52-I51)/I51</f>
        <v>-1.4109320117902105E-2</v>
      </c>
    </row>
    <row r="53" spans="1:18" x14ac:dyDescent="0.25">
      <c r="A53" s="2"/>
      <c r="B53" s="6"/>
      <c r="C53" s="6"/>
      <c r="D53" s="6"/>
      <c r="E53" s="8"/>
      <c r="F53" s="8"/>
      <c r="G53" s="8"/>
      <c r="H53" s="9"/>
      <c r="I53" s="6"/>
    </row>
    <row r="54" spans="1:18" x14ac:dyDescent="0.25">
      <c r="A54" s="2" t="s">
        <v>2</v>
      </c>
      <c r="B54" s="4">
        <v>13.38</v>
      </c>
      <c r="C54" s="4">
        <v>14.78</v>
      </c>
      <c r="D54" s="4">
        <v>22.779</v>
      </c>
      <c r="E54" s="7">
        <v>90</v>
      </c>
      <c r="F54" s="7">
        <v>90</v>
      </c>
      <c r="G54" s="7">
        <v>123.49</v>
      </c>
      <c r="H54" s="3">
        <v>3762</v>
      </c>
      <c r="I54" s="4">
        <v>2.39</v>
      </c>
    </row>
    <row r="55" spans="1:18" x14ac:dyDescent="0.25">
      <c r="A55" s="2"/>
      <c r="B55" s="4"/>
      <c r="C55" s="4"/>
      <c r="D55" s="4"/>
      <c r="E55" s="7"/>
      <c r="F55" s="7"/>
      <c r="G55" s="7"/>
      <c r="H55" s="3"/>
      <c r="I55" s="4"/>
    </row>
    <row r="56" spans="1:18" x14ac:dyDescent="0.25">
      <c r="A56" s="2"/>
      <c r="B56" s="4"/>
      <c r="C56" s="4"/>
      <c r="D56" s="4"/>
      <c r="E56" s="7"/>
      <c r="F56" s="7"/>
      <c r="G56" s="7"/>
      <c r="H56" s="3"/>
      <c r="I56" s="4"/>
    </row>
    <row r="57" spans="1:18" x14ac:dyDescent="0.25">
      <c r="A57" s="2" t="s">
        <v>3</v>
      </c>
      <c r="B57" s="4">
        <v>11.156000000000001</v>
      </c>
      <c r="C57" s="4">
        <v>14.606</v>
      </c>
      <c r="D57" s="4">
        <v>19.132000000000001</v>
      </c>
      <c r="E57" s="7">
        <v>101.08</v>
      </c>
      <c r="F57" s="7">
        <v>92.83</v>
      </c>
      <c r="G57" s="7">
        <v>89.98</v>
      </c>
      <c r="H57" s="3">
        <v>3055.5</v>
      </c>
      <c r="I57" s="4">
        <v>2.8650000000000002</v>
      </c>
    </row>
    <row r="58" spans="1:18" x14ac:dyDescent="0.25">
      <c r="A58" s="2"/>
      <c r="B58" s="6"/>
      <c r="C58" s="6"/>
      <c r="D58" s="6"/>
      <c r="E58" s="8"/>
      <c r="F58" s="8"/>
      <c r="G58" s="8"/>
      <c r="H58" s="9"/>
      <c r="I58" s="6"/>
    </row>
  </sheetData>
  <conditionalFormatting sqref="K4:R1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0:R3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5:R35 K38:R3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9:R49 K52:R5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4:R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2C28FF31F06F4DACAA3C9B05336E71" ma:contentTypeVersion="4" ma:contentTypeDescription="Create a new document." ma:contentTypeScope="" ma:versionID="3580a2ea09fdb115c8c8a51e44682d64">
  <xsd:schema xmlns:xsd="http://www.w3.org/2001/XMLSchema" xmlns:xs="http://www.w3.org/2001/XMLSchema" xmlns:p="http://schemas.microsoft.com/office/2006/metadata/properties" xmlns:ns2="bcf44b58-c87b-427e-b856-07f52cb1fdf9" targetNamespace="http://schemas.microsoft.com/office/2006/metadata/properties" ma:root="true" ma:fieldsID="e30cd9b3efa19ab73b7cae4075bda234" ns2:_="">
    <xsd:import namespace="bcf44b58-c87b-427e-b856-07f52cb1fd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44b58-c87b-427e-b856-07f52cb1f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DBADA6-BE38-420B-AB8F-2C0F7C272021}"/>
</file>

<file path=customXml/itemProps2.xml><?xml version="1.0" encoding="utf-8"?>
<ds:datastoreItem xmlns:ds="http://schemas.openxmlformats.org/officeDocument/2006/customXml" ds:itemID="{52BDF882-D20E-4177-B62C-34E8B46D836F}"/>
</file>

<file path=customXml/itemProps3.xml><?xml version="1.0" encoding="utf-8"?>
<ds:datastoreItem xmlns:ds="http://schemas.openxmlformats.org/officeDocument/2006/customXml" ds:itemID="{D4AA8F64-98BF-4475-83FE-E0CF62399B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Tariq Jamil</dc:creator>
  <cp:lastModifiedBy>Tariq Jamil</cp:lastModifiedBy>
  <dcterms:created xsi:type="dcterms:W3CDTF">2020-04-03T06:21:08Z</dcterms:created>
  <dcterms:modified xsi:type="dcterms:W3CDTF">2020-05-04T15:14:02Z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0x010100782C28FF31F06F4DACAA3C9B05336E71</vt:lpwstr>
  </property>
</Properties>
</file>